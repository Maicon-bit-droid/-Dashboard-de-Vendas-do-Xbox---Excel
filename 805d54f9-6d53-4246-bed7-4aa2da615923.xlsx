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yl\Downloads\"/>
    </mc:Choice>
  </mc:AlternateContent>
  <xr:revisionPtr revIDLastSave="0" documentId="13_ncr:1_{0FB73A2F-AD7E-4BE9-8AF6-541F3DB574CC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3" l="1"/>
  <c r="E24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<sst xmlns="http://schemas.openxmlformats.org/spreadsheetml/2006/main" count="2022" uniqueCount="324">
  <si>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</si>
  <si>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</si>
  <si>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</si>
  <si>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</si>
  <si>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</si>
  <si>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</si>
  <si>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</si>
  <si>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</si>
  <si>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</si>
  <si>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</si>
  <si>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</si>
  <si>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</si>
  <si>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</si>
  <si>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</si>
  <si>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</si>
  <si>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</si>
  <si>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</si>
  <si>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</si>
  <si>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</si>
  <si>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</si>
  <si>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</si>
  <si>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</si>
  <si>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</si>
  <si>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</si>
  <si>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</si>
  <si>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</si>
  <si>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</si>
  <si>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</si>
  <si>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</si>
  <si>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</si>
  <si>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</si>
  <si>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</si>
  <si>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</si>
  <si>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</si>
  <si>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</si>
  <si>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</si>
  <si>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</si>
  <si>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</si>
  <si>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</si>
  <si>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</si>
  <si>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</si>
  <si>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</si>
  <si>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</si>
  <si>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</si>
  <si>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</si>
  <si>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</si>
  <si>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</si>
  <si>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</si>
  <si>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</si>
  <si>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</si>
  <si>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</si>
  <si>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</si>
  <si>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</si>
  <si>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</si>
  <si>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</si>
  <si>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</si>
  <si>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</si>
  <si>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</si>
  <si>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</si>
  <si>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</si>
  <si>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</si>
  <si>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</si>
  <si>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</si>
  <si>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</si>
  <si>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</si>
  <si>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</si>
  <si>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</si>
  <si>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</si>
  <si>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</si>
  <si>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</si>
  <si>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</si>
  <si>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</si>
  <si>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</si>
  <si>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</si>
  <si>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</si>
  <si>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</si>
  <si>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</si>
  <si>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</si>
  <si>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</si>
  <si>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</si>
  <si>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</si>
  <si>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</si>
  <si>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</si>
  <si>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</si>
  <si>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</si>
  <si>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</si>
  <si>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</si>
  <si>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</si>
  <si>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</si>
  <si>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</si>
  <si>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</si>
  <si>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</si>
  <si>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</si>
  <si>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</si>
  <si>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</si>
  <si>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</si>
  <si>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</si>
  <si>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</si>
  <si>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</si>
  <si>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</si>
  <si>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</si>
  <si>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</si>
  <si>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</si>
  <si>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</si>
  <si>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</si>
  <si>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</si>
  <si>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</si>
  <si>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</si>
  <si>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</si>
  <si>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</si>
  <si>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</si>
  <si>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</si>
  <si>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</si>
  <si>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</si>
  <si>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</si>
  <si>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</si>
  <si>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</si>
  <si>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</si>
  <si>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</si>
  <si>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</si>
  <si>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</si>
  <si>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</si>
  <si>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</si>
  <si>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</si>
  <si>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</si>
  <si>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</si>
  <si>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</si>
  <si>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</si>
  <si>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</si>
  <si>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</si>
  <si>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</si>
  <si>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</si>
  <si>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</si>
  <si>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</si>
  <si>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</si>
  <si>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</si>
  <si>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</si>
  <si>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</si>
  <si>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</si>
  <si>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</si>
  <si>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</si>
  <si>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</si>
  <si>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</si>
  <si>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</si>
  <si>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</si>
  <si>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</si>
  <si>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</si>
  <si>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</si>
  <si>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</si>
  <si>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</si>
  <si>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</si>
  <si>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</si>
  <si>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</si>
  <si>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</si>
  <si>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</si>
  <si>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</si>
  <si>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</si>
  <si>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</si>
  <si>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</si>
  <si>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</si>
  <si>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</si>
  <si>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</si>
  <si>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</si>
  <si>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</si>
  <si>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</si>
  <si>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</si>
  <si>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</si>
  <si>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</si>
  <si>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</si>
  <si>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</si>
  <si>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</si>
  <si>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</si>
  <si>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</si>
  <si>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</si>
  <si>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</si>
  <si>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</si>
  <si>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</si>
  <si>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</si>
  <si>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</si>
  <si>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</si>
  <si>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</si>
  <si>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</si>
  <si>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</si>
  <si>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</si>
  <si>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</si>
  <si>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</si>
  <si>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</si>
  <si>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</si>
  <si>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</si>
  <si>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</si>
  <si>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</si>
  <si>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</si>
  <si>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</si>
  <si>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</si>
  <si>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</si>
  <si>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</si>
  <si>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</si>
  <si>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</si>
  <si>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</si>
  <si>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</si>
  <si>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</si>
  <si>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</si>
  <si>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</si>
  <si>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</si>
  <si>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</si>
  <si>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</si>
  <si>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</si>
  <si>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</si>
  <si>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</si>
  <si>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</si>
  <si>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</si>
  <si>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</si>
  <si>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</si>
  <si>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</si>
  <si>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</si>
  <si>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</si>
  <si>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</si>
  <si>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</si>
  <si>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</si>
  <si>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</si>
  <si>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</si>
  <si>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</si>
  <si>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</si>
  <si>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</si>
  <si>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</si>
  <si>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</si>
  <si>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</si>
  <si>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</si>
  <si>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</si>
  <si>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</si>
  <si>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</si>
  <si>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</si>
  <si>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</si>
  <si>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</si>
  <si>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</si>
  <si>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</si>
  <si>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</si>
  <si>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</si>
  <si>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</si>
  <si>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</si>
  <si>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</si>
  <si>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</si>
  <si>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</si>
  <si>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</si>
  <si>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</si>
  <si>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</si>
  <si>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</si>
  <si>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</si>
  <si>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</si>
  <si>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</si>
  <si>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</si>
  <si>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</si>
  <si>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</si>
  <si>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</si>
  <si>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</si>
  <si>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</si>
  <si>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</si>
  <si>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</si>
  <si>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</si>
  <si>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</si>
  <si>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</si>
  <si>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</si>
  <si>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</si>
  <si>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</si>
  <si>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</si>
  <si>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</si>
  <si>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</si>
  <si>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</si>
  <si>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</si>
  <si>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</si>
  <si>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</si>
  <si>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</si>
  <si>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</si>
  <si>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</si>
  <si>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</si>
  <si>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</si>
  <si>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</si>
  <si>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</si>
  <si>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</si>
  <si>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</si>
  <si>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</si>
  <si>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</si>
  <si>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</si>
  <si>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</si>
  <si>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</si>
  <si>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</si>
  <si>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</si>
  <si>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</si>
  <si>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</si>
  <si>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</si>
  <si>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</si>
  <si>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</si>
  <si>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</si>
  <si>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</si>
  <si>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</si>
  <si>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</si>
  <si>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</si>
  <si>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</si>
  <si>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</si>
  <si>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</si>
  <si>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</si>
  <si>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</si>
  <si>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</si>
  <si>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</si>
  <si>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</si>
  <si>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</si>
  <si>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</si>
  <si>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</si>
  <si>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</si>
  <si>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</si>
  <si>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</si>
  <si>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</si>
  <si>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</si>
  <si>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</si>
  <si>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</si>
  <si>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</si>
  <si>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Négocio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 contendo todas as assinaturas agregadas)</t>
    </r>
  </si>
  <si>
    <t>Pergunta de Négocio 2 - Qual faturamento Total de vendas de planos anuais , separado por auto renovação ou que não é por auto renovação</t>
  </si>
  <si>
    <t>É uma pergunta de negócio respondida através de alguma análise de dado específica</t>
  </si>
  <si>
    <t>XBOX GAME PASS SUBSCRIPTIONS SALES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</si>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</sst>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i UI"/>
    </font>
    <font>
      <b/>
      <sz val="15"/>
      <color rgb="FF22C55E"/>
      <name val="Segoi UI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0E0E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44" fontId="0" fillId="0" borderId="0" xfId="2" applyFont="1"/>
    <xf numFmtId="0" fontId="5" fillId="0" borderId="2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0" xfId="1" applyFont="1" applyBorder="1" applyAlignment="1">
      <alignment horizontal="left" indent="9"/>
    </xf>
    <xf numFmtId="0" fontId="0" fillId="7" borderId="0" xfId="0" applyFont="1" applyFill="1"/>
    <xf numFmtId="0" fontId="6" fillId="8" borderId="0" xfId="0" applyFont="1" applyFill="1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A2168087-5685-4491-9C2E-82B3DA2D14B7}">
      <tableStyleElement type="wholeTable" dxfId="17"/>
      <tableStyleElement type="headerRow" dxfId="16"/>
    </tableStyle>
    <tableStyle name="SlicerStyleLight6 2 2" pivot="0" table="0" count="10" xr9:uid="{D6024BE7-0FB5-4601-B944-7463C7A60A9E}">
      <tableStyleElement type="wholeTable" dxfId="15"/>
      <tableStyleElement type="headerRow" dxfId="14"/>
    </tableStyle>
  </tableStyles>
  <colors>
    <mruColors>
      <color rgb="FFE8E6E9"/>
      <color rgb="FFE0E0E0"/>
      <color rgb="FF22C55E"/>
      <color rgb="FF5BF6A8"/>
      <color rgb="FF2AE6B1"/>
      <color rgb="FF00000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[805d54f9-6d53-4246-bed7-4aa2da615923.xlsx]C̳álculos!tbl_eaeseasonpass_total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1700037495313086E-2"/>
          <c:y val="0.22693690679955655"/>
          <c:w val="0.91523015505414762"/>
          <c:h val="0.765442525468147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68-4BED-B03C-61F39FF5D91E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68-4BED-B03C-61F39FF5D9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68-4BED-B03C-61F39FF5D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7634671"/>
        <c:axId val="1037635631"/>
      </c:barChart>
      <c:catAx>
        <c:axId val="1037634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635631"/>
        <c:crosses val="autoZero"/>
        <c:auto val="1"/>
        <c:lblAlgn val="ctr"/>
        <c:lblOffset val="100"/>
        <c:noMultiLvlLbl val="0"/>
      </c:catAx>
      <c:valAx>
        <c:axId val="1037635631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03763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2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16</xdr:row>
      <xdr:rowOff>66676</xdr:rowOff>
    </xdr:from>
    <xdr:to>
      <xdr:col>2</xdr:col>
      <xdr:colOff>171450</xdr:colOff>
      <xdr:row>19</xdr:row>
      <xdr:rowOff>104776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09" t="20500" r="71569" b="19865"/>
        <a:stretch/>
      </xdr:blipFill>
      <xdr:spPr>
        <a:xfrm>
          <a:off x="742950" y="3267076"/>
          <a:ext cx="647700" cy="609600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7</xdr:row>
      <xdr:rowOff>119062</xdr:rowOff>
    </xdr:from>
    <xdr:to>
      <xdr:col>0</xdr:col>
      <xdr:colOff>1678781</xdr:colOff>
      <xdr:row>17</xdr:row>
      <xdr:rowOff>107156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A65DEFF-7FD3-48D8-800E-A335C6D6FF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66875"/>
              <a:ext cx="1738312" cy="21193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23812</xdr:colOff>
      <xdr:row>6</xdr:row>
      <xdr:rowOff>65483</xdr:rowOff>
    </xdr:from>
    <xdr:to>
      <xdr:col>10</xdr:col>
      <xdr:colOff>428624</xdr:colOff>
      <xdr:row>14</xdr:row>
      <xdr:rowOff>53577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3F8EA44B-14C7-5DAC-13E9-0B446F3DF850}"/>
            </a:ext>
          </a:extLst>
        </xdr:cNvPr>
        <xdr:cNvGrpSpPr/>
      </xdr:nvGrpSpPr>
      <xdr:grpSpPr>
        <a:xfrm>
          <a:off x="2024062" y="1521447"/>
          <a:ext cx="5303383" cy="1675380"/>
          <a:chOff x="2131218" y="1321593"/>
          <a:chExt cx="5262562" cy="1666875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C0DD423-AB14-CCAA-DFED-3F6E8A4BDA4B}"/>
              </a:ext>
            </a:extLst>
          </xdr:cNvPr>
          <xdr:cNvSpPr/>
        </xdr:nvSpPr>
        <xdr:spPr>
          <a:xfrm>
            <a:off x="2143123" y="1321593"/>
            <a:ext cx="5250657" cy="1666875"/>
          </a:xfrm>
          <a:prstGeom prst="roundRect">
            <a:avLst>
              <a:gd name="adj" fmla="val 738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E534040F-CB60-4AA3-BB5D-2AF5AE6854A2}"/>
              </a:ext>
            </a:extLst>
          </xdr:cNvPr>
          <xdr:cNvSpPr/>
        </xdr:nvSpPr>
        <xdr:spPr>
          <a:xfrm>
            <a:off x="3405188" y="1794272"/>
            <a:ext cx="3262312" cy="964406"/>
          </a:xfrm>
          <a:prstGeom prst="roundRect">
            <a:avLst>
              <a:gd name="adj" fmla="val 7381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9242E52-48DA-4FF6-9737-1A004773A103}" type="TxLink"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en-US" sz="4400">
              <a:solidFill>
                <a:srgbClr val="22C55E"/>
              </a:solidFill>
            </a:endParaRPr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A97551DC-E6E7-4B85-A75A-BC24519578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7936" y="1666875"/>
            <a:ext cx="1219200" cy="1219200"/>
          </a:xfrm>
          <a:prstGeom prst="rect">
            <a:avLst/>
          </a:prstGeom>
        </xdr:spPr>
      </xdr:pic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14B6A2D2-B52F-CB7E-B68C-26424F69D6B9}"/>
              </a:ext>
            </a:extLst>
          </xdr:cNvPr>
          <xdr:cNvSpPr/>
        </xdr:nvSpPr>
        <xdr:spPr>
          <a:xfrm>
            <a:off x="2131218" y="1333500"/>
            <a:ext cx="5262562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226218</xdr:colOff>
      <xdr:row>6</xdr:row>
      <xdr:rowOff>65483</xdr:rowOff>
    </xdr:from>
    <xdr:to>
      <xdr:col>21</xdr:col>
      <xdr:colOff>23812</xdr:colOff>
      <xdr:row>14</xdr:row>
      <xdr:rowOff>65482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50B39B7F-D6F7-1391-923D-EAA1930CB295}"/>
            </a:ext>
          </a:extLst>
        </xdr:cNvPr>
        <xdr:cNvGrpSpPr/>
      </xdr:nvGrpSpPr>
      <xdr:grpSpPr>
        <a:xfrm>
          <a:off x="8172789" y="1521447"/>
          <a:ext cx="5308487" cy="1687285"/>
          <a:chOff x="7750969" y="1381124"/>
          <a:chExt cx="5262563" cy="1678780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8923AE6E-15BA-410B-B164-1CDC3861F3DA}"/>
              </a:ext>
            </a:extLst>
          </xdr:cNvPr>
          <xdr:cNvGrpSpPr/>
        </xdr:nvGrpSpPr>
        <xdr:grpSpPr>
          <a:xfrm>
            <a:off x="7750969" y="1381124"/>
            <a:ext cx="5262563" cy="1678780"/>
            <a:chOff x="2095499" y="1333500"/>
            <a:chExt cx="5262563" cy="1678780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EAB6623C-954D-2C84-194B-B1468199226D}"/>
                </a:ext>
              </a:extLst>
            </xdr:cNvPr>
            <xdr:cNvSpPr/>
          </xdr:nvSpPr>
          <xdr:spPr>
            <a:xfrm>
              <a:off x="2095499" y="1345405"/>
              <a:ext cx="5250657" cy="1666875"/>
            </a:xfrm>
            <a:prstGeom prst="roundRect">
              <a:avLst>
                <a:gd name="adj" fmla="val 738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5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123CB162-D1B0-513C-9CF1-8442B37FF190}"/>
                </a:ext>
              </a:extLst>
            </xdr:cNvPr>
            <xdr:cNvSpPr/>
          </xdr:nvSpPr>
          <xdr:spPr>
            <a:xfrm>
              <a:off x="3690939" y="1913334"/>
              <a:ext cx="3262312" cy="964406"/>
            </a:xfrm>
            <a:prstGeom prst="roundRect">
              <a:avLst>
                <a:gd name="adj" fmla="val 7381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CFFE9B8-169E-408A-B904-7F0419681CCD}" type="TxLink">
                <a:rPr lang="en-US" sz="44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en-US" sz="4400" b="0" i="0" u="none" strike="noStrike">
                <a:solidFill>
                  <a:srgbClr val="22C55E"/>
                </a:solidFill>
                <a:latin typeface="Aptos Narrow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ED01B0E3-1E95-E906-36BA-E99FDA918A85}"/>
                </a:ext>
              </a:extLst>
            </xdr:cNvPr>
            <xdr:cNvSpPr/>
          </xdr:nvSpPr>
          <xdr:spPr>
            <a:xfrm>
              <a:off x="2095500" y="1333500"/>
              <a:ext cx="5262562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6BE53C6C-B187-42BB-9015-FF780FC5E48C}"/>
              </a:ext>
            </a:extLst>
          </xdr:cNvPr>
          <xdr:cNvGrpSpPr/>
        </xdr:nvGrpSpPr>
        <xdr:grpSpPr>
          <a:xfrm>
            <a:off x="7929563" y="1988344"/>
            <a:ext cx="1309688" cy="726282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831C525D-AB39-EFBB-BB83-876805E8E68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3DF33135-1FD1-FDF9-6F97-9538131941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190500</xdr:colOff>
      <xdr:row>15</xdr:row>
      <xdr:rowOff>107156</xdr:rowOff>
    </xdr:from>
    <xdr:to>
      <xdr:col>21</xdr:col>
      <xdr:colOff>47624</xdr:colOff>
      <xdr:row>34</xdr:row>
      <xdr:rowOff>178594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17F1C630-3A0A-E7B1-491E-1F77CB9B7139}"/>
            </a:ext>
          </a:extLst>
        </xdr:cNvPr>
        <xdr:cNvGrpSpPr/>
      </xdr:nvGrpSpPr>
      <xdr:grpSpPr>
        <a:xfrm>
          <a:off x="1945821" y="3440906"/>
          <a:ext cx="11559267" cy="3690938"/>
          <a:chOff x="714375" y="3298031"/>
          <a:chExt cx="12692062" cy="3690938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EF32DE64-F183-8AAC-0649-1D5B272A4436}"/>
              </a:ext>
            </a:extLst>
          </xdr:cNvPr>
          <xdr:cNvGrpSpPr/>
        </xdr:nvGrpSpPr>
        <xdr:grpSpPr>
          <a:xfrm>
            <a:off x="714375" y="3298031"/>
            <a:ext cx="12692062" cy="3690938"/>
            <a:chOff x="666750" y="1512094"/>
            <a:chExt cx="12692062" cy="3690938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52B5DFDC-BA38-5219-393C-4D2549F1AE1F}"/>
                </a:ext>
              </a:extLst>
            </xdr:cNvPr>
            <xdr:cNvSpPr/>
          </xdr:nvSpPr>
          <xdr:spPr>
            <a:xfrm>
              <a:off x="784390" y="1512094"/>
              <a:ext cx="12574422" cy="369093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BE40EA8-4682-43FB-8F6E-92416317F305}"/>
                </a:ext>
              </a:extLst>
            </xdr:cNvPr>
            <xdr:cNvGraphicFramePr>
              <a:graphicFrameLocks/>
            </xdr:cNvGraphicFramePr>
          </xdr:nvGraphicFramePr>
          <xdr:xfrm>
            <a:off x="666750" y="1658780"/>
            <a:ext cx="12547086" cy="333308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45" name="Retângulo: Cantos Superiores Arredondados 44">
            <a:extLst>
              <a:ext uri="{FF2B5EF4-FFF2-40B4-BE49-F238E27FC236}">
                <a16:creationId xmlns:a16="http://schemas.microsoft.com/office/drawing/2014/main" id="{A5403C15-10FC-4EBB-8DAE-88FDD57BAB51}"/>
              </a:ext>
            </a:extLst>
          </xdr:cNvPr>
          <xdr:cNvSpPr/>
        </xdr:nvSpPr>
        <xdr:spPr>
          <a:xfrm>
            <a:off x="832992" y="3309937"/>
            <a:ext cx="12573444" cy="45243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392906</xdr:colOff>
      <xdr:row>1</xdr:row>
      <xdr:rowOff>47624</xdr:rowOff>
    </xdr:from>
    <xdr:to>
      <xdr:col>0</xdr:col>
      <xdr:colOff>1285874</xdr:colOff>
      <xdr:row>4</xdr:row>
      <xdr:rowOff>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AED636B-0C49-4724-8ECA-FE1311E6B5B3}"/>
            </a:ext>
          </a:extLst>
        </xdr:cNvPr>
        <xdr:cNvSpPr/>
      </xdr:nvSpPr>
      <xdr:spPr>
        <a:xfrm>
          <a:off x="392906" y="273843"/>
          <a:ext cx="892968" cy="857251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119061</xdr:colOff>
      <xdr:row>4</xdr:row>
      <xdr:rowOff>47625</xdr:rowOff>
    </xdr:from>
    <xdr:to>
      <xdr:col>0</xdr:col>
      <xdr:colOff>1523998</xdr:colOff>
      <xdr:row>6</xdr:row>
      <xdr:rowOff>95250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E04991E6-9E1B-A584-36F2-380D10B16BD5}"/>
            </a:ext>
          </a:extLst>
        </xdr:cNvPr>
        <xdr:cNvSpPr/>
      </xdr:nvSpPr>
      <xdr:spPr>
        <a:xfrm>
          <a:off x="119061" y="1178719"/>
          <a:ext cx="1404937" cy="34528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1"/>
            <a:t>&gt; Bem vinda, Liana</a:t>
          </a:r>
        </a:p>
      </xdr:txBody>
    </xdr:sp>
    <xdr:clientData/>
  </xdr:twoCellAnchor>
  <xdr:twoCellAnchor editAs="absolute">
    <xdr:from>
      <xdr:col>1</xdr:col>
      <xdr:colOff>166687</xdr:colOff>
      <xdr:row>0</xdr:row>
      <xdr:rowOff>107156</xdr:rowOff>
    </xdr:from>
    <xdr:to>
      <xdr:col>3</xdr:col>
      <xdr:colOff>154781</xdr:colOff>
      <xdr:row>2</xdr:row>
      <xdr:rowOff>260537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6AE4CA7F-BEF3-4E7F-A78E-1F83231C06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09" t="20500" r="71569" b="19865"/>
        <a:stretch/>
      </xdr:blipFill>
      <xdr:spPr>
        <a:xfrm>
          <a:off x="1916906" y="107156"/>
          <a:ext cx="833438" cy="784412"/>
        </a:xfrm>
        <a:prstGeom prst="rect">
          <a:avLst/>
        </a:prstGeom>
      </xdr:spPr>
    </xdr:pic>
    <xdr:clientData/>
  </xdr:twoCellAnchor>
  <xdr:twoCellAnchor editAs="absolute">
    <xdr:from>
      <xdr:col>1</xdr:col>
      <xdr:colOff>154780</xdr:colOff>
      <xdr:row>3</xdr:row>
      <xdr:rowOff>71438</xdr:rowOff>
    </xdr:from>
    <xdr:to>
      <xdr:col>10</xdr:col>
      <xdr:colOff>535781</xdr:colOff>
      <xdr:row>6</xdr:row>
      <xdr:rowOff>11907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8B1147B4-B2E3-4716-B03E-09FCE617487B}"/>
            </a:ext>
          </a:extLst>
        </xdr:cNvPr>
        <xdr:cNvSpPr/>
      </xdr:nvSpPr>
      <xdr:spPr>
        <a:xfrm>
          <a:off x="1904999" y="1095376"/>
          <a:ext cx="5476876" cy="345281"/>
        </a:xfrm>
        <a:prstGeom prst="roundRect">
          <a:avLst/>
        </a:prstGeom>
        <a:solidFill>
          <a:srgbClr val="E8E6E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0">
              <a:solidFill>
                <a:schemeClr val="bg2">
                  <a:lumMod val="50000"/>
                </a:schemeClr>
              </a:solidFill>
            </a:rPr>
            <a:t>Calculation</a:t>
          </a:r>
          <a:r>
            <a:rPr lang="pt-BR" sz="1200" b="0" baseline="0">
              <a:solidFill>
                <a:schemeClr val="bg2">
                  <a:lumMod val="50000"/>
                </a:schemeClr>
              </a:solidFill>
            </a:rPr>
            <a:t> Period</a:t>
          </a:r>
          <a:r>
            <a:rPr lang="pt-BR" sz="1200" b="0">
              <a:solidFill>
                <a:schemeClr val="bg2">
                  <a:lumMod val="50000"/>
                </a:schemeClr>
              </a:solidFill>
            </a:rPr>
            <a:t>: 01/01/2024 - 31/12/2024 | Update</a:t>
          </a:r>
          <a:r>
            <a:rPr lang="pt-BR" sz="1200" b="0" baseline="0">
              <a:solidFill>
                <a:schemeClr val="bg2">
                  <a:lumMod val="50000"/>
                </a:schemeClr>
              </a:solidFill>
            </a:rPr>
            <a:t>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yl" refreshedDate="46286.769657060184" createdVersion="8" refreshedVersion="8" minRefreshableVersion="3" recordCount="295" xr:uid="{15320CE5-4838-47A3-9B17-8C953144499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488753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5314E-6110-45AE-99C1-18EC872E2768}" name="tbl_eae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4D840-09A1-4435-843C-FFA571311829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5E64A-8C6C-4F4B-9F5D-AA48CF7ED2D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0F94ADD-5896-4D45-AB5B-81BB28293BEF}" sourceName="Subscription Type">
  <pivotTables>
    <pivotTable tabId="3" name="tbl_eaeseasonpass_total"/>
    <pivotTable tabId="3" name="Tabela dinâmica2"/>
    <pivotTable tabId="3" name="Tabela dinâmica1"/>
  </pivotTables>
  <data>
    <tabular pivotCacheId="24887538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044B324-B315-4D0A-80E7-FD24C2310548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Y10" sqref="Y10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Y10" sqref="Y10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5"/>
  <sheetViews>
    <sheetView workbookViewId="0">
      <selection activeCell="F35" sqref="F35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>
      <c r="B3" t="s">
        <v>318</v>
      </c>
    </row>
    <row r="6" spans="2:3">
      <c r="B6" t="s">
        <v>316</v>
      </c>
    </row>
    <row r="7" spans="2:3">
      <c r="B7" t="s">
        <v>317</v>
      </c>
    </row>
    <row r="9" spans="2:3">
      <c r="B9" s="12" t="s">
        <v>16</v>
      </c>
      <c r="C9" t="s">
        <v>24</v>
      </c>
    </row>
    <row r="11" spans="2:3" ht="14.25" customHeight="1">
      <c r="B11" s="12" t="s">
        <v>313</v>
      </c>
      <c r="C11" t="s">
        <v>315</v>
      </c>
    </row>
    <row r="12" spans="2:3">
      <c r="B12" s="13" t="s">
        <v>23</v>
      </c>
      <c r="C12" s="15">
        <v>217</v>
      </c>
    </row>
    <row r="13" spans="2:3">
      <c r="B13" s="13" t="s">
        <v>19</v>
      </c>
      <c r="C13" s="15">
        <v>1537</v>
      </c>
    </row>
    <row r="14" spans="2:3">
      <c r="B14" s="13" t="s">
        <v>314</v>
      </c>
      <c r="C14" s="15">
        <v>1754</v>
      </c>
    </row>
    <row r="16" spans="2:3">
      <c r="B16" s="13" t="s">
        <v>320</v>
      </c>
    </row>
    <row r="18" spans="2:5">
      <c r="B18" s="12" t="s">
        <v>16</v>
      </c>
      <c r="C18" t="s">
        <v>24</v>
      </c>
    </row>
    <row r="20" spans="2:5">
      <c r="B20" s="12" t="s">
        <v>313</v>
      </c>
      <c r="C20" t="s">
        <v>321</v>
      </c>
    </row>
    <row r="21" spans="2:5">
      <c r="B21" s="13" t="s">
        <v>22</v>
      </c>
      <c r="C21" s="14">
        <v>0</v>
      </c>
    </row>
    <row r="22" spans="2:5">
      <c r="B22" s="13" t="s">
        <v>26</v>
      </c>
      <c r="C22" s="14">
        <v>0</v>
      </c>
    </row>
    <row r="23" spans="2:5">
      <c r="B23" s="13" t="s">
        <v>18</v>
      </c>
      <c r="C23" s="14">
        <v>600</v>
      </c>
    </row>
    <row r="24" spans="2:5">
      <c r="B24" s="13" t="s">
        <v>314</v>
      </c>
      <c r="C24" s="14">
        <v>600</v>
      </c>
      <c r="E24" s="16">
        <f>GETPIVOTDATA("EA Play Season Pass
Price",$B$20)</f>
        <v>600</v>
      </c>
    </row>
    <row r="27" spans="2:5">
      <c r="B27" s="13" t="s">
        <v>322</v>
      </c>
    </row>
    <row r="29" spans="2:5">
      <c r="B29" s="12" t="s">
        <v>16</v>
      </c>
      <c r="C29" t="s">
        <v>24</v>
      </c>
    </row>
    <row r="31" spans="2:5">
      <c r="B31" s="12" t="s">
        <v>313</v>
      </c>
      <c r="C31" t="s">
        <v>323</v>
      </c>
    </row>
    <row r="32" spans="2:5">
      <c r="B32" s="13" t="s">
        <v>22</v>
      </c>
      <c r="C32" s="14">
        <v>0</v>
      </c>
    </row>
    <row r="33" spans="2:6">
      <c r="B33" s="13" t="s">
        <v>26</v>
      </c>
      <c r="C33" s="14">
        <v>540</v>
      </c>
    </row>
    <row r="34" spans="2:6">
      <c r="B34" s="13" t="s">
        <v>18</v>
      </c>
      <c r="C34" s="14">
        <v>400</v>
      </c>
    </row>
    <row r="35" spans="2:6">
      <c r="B35" s="13" t="s">
        <v>314</v>
      </c>
      <c r="C35" s="14">
        <v>940</v>
      </c>
      <c r="F35" s="16">
        <f>GETPIVOTDATA("Minecraft Season Pass Price",$B$31)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U263"/>
  <sheetViews>
    <sheetView showGridLines="0" showRowColHeaders="0" tabSelected="1" zoomScale="70" zoomScaleNormal="70" workbookViewId="0">
      <selection activeCell="AA34" sqref="AA34"/>
    </sheetView>
  </sheetViews>
  <sheetFormatPr defaultRowHeight="15"/>
  <cols>
    <col min="1" max="1" width="26.28515625" style="4" customWidth="1"/>
    <col min="2" max="2" width="3.5703125" customWidth="1"/>
    <col min="12" max="12" width="6.5703125" customWidth="1"/>
  </cols>
  <sheetData>
    <row r="1" spans="1:21" ht="18" customHeight="1"/>
    <row r="2" spans="1:21" ht="32.25" customHeight="1" thickBot="1">
      <c r="C2" s="20" t="s">
        <v>319</v>
      </c>
      <c r="D2" s="17"/>
      <c r="E2" s="17"/>
      <c r="F2" s="17"/>
      <c r="G2" s="17"/>
      <c r="H2" s="17"/>
      <c r="I2" s="17"/>
      <c r="J2" s="18"/>
      <c r="K2" s="18"/>
      <c r="L2" s="18"/>
      <c r="M2" s="18"/>
      <c r="N2" s="18"/>
      <c r="O2" s="18"/>
      <c r="P2" s="18"/>
      <c r="Q2" s="18"/>
      <c r="R2" s="19"/>
      <c r="S2" s="19"/>
      <c r="T2" s="19"/>
      <c r="U2" s="19"/>
    </row>
    <row r="3" spans="1:21" ht="30.75" customHeight="1" thickTop="1"/>
    <row r="4" spans="1:21" s="7" customFormat="1" ht="8.25" customHeight="1">
      <c r="A4" s="4"/>
    </row>
    <row r="5" spans="1:21" s="7" customFormat="1" ht="13.5" customHeight="1">
      <c r="A5" s="4"/>
      <c r="C5" s="22"/>
      <c r="D5" s="21"/>
    </row>
    <row r="6" spans="1:21" s="7" customFormat="1" ht="10.5" customHeight="1">
      <c r="A6" s="4"/>
    </row>
    <row r="7" spans="1:21" s="7" customFormat="1" ht="9.75" customHeight="1">
      <c r="A7" s="4"/>
    </row>
    <row r="8" spans="1:21" s="7" customFormat="1" ht="33" customHeight="1">
      <c r="A8" s="4"/>
    </row>
    <row r="9" spans="1:21" s="7" customFormat="1">
      <c r="A9" s="4"/>
    </row>
    <row r="10" spans="1:21" s="7" customFormat="1">
      <c r="A10" s="4"/>
    </row>
    <row r="11" spans="1:21" s="7" customFormat="1">
      <c r="A11" s="4"/>
    </row>
    <row r="12" spans="1:21" s="7" customFormat="1">
      <c r="A12" s="4"/>
    </row>
    <row r="13" spans="1:21" s="7" customFormat="1">
      <c r="A13" s="4"/>
    </row>
    <row r="14" spans="1:21" s="7" customFormat="1">
      <c r="A14" s="4"/>
    </row>
    <row r="15" spans="1:21" s="7" customFormat="1">
      <c r="A15" s="4"/>
    </row>
    <row r="16" spans="1:21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MAICON FELIPE OLIVEIRA MARTINS</cp:lastModifiedBy>
  <dcterms:created xsi:type="dcterms:W3CDTF">2024-12-19T13:13:10Z</dcterms:created>
  <dcterms:modified xsi:type="dcterms:W3CDTF">2026-09-22T18:03:42Z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